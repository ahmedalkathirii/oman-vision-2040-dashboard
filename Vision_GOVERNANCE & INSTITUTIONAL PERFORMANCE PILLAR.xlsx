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7MD\Desktop\DV_Project\"/>
    </mc:Choice>
  </mc:AlternateContent>
  <xr:revisionPtr revIDLastSave="0" documentId="13_ncr:1_{084FA2F1-AC38-4652-BFFB-9FC471CAA6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-Government Development Index " sheetId="1" r:id="rId1"/>
    <sheet name="Corruption Perceptions Index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6" i="1"/>
  <c r="G5" i="1"/>
  <c r="G3" i="1"/>
  <c r="G4" i="1"/>
  <c r="G2" i="1"/>
  <c r="E7" i="1"/>
  <c r="E6" i="1"/>
  <c r="E5" i="1"/>
  <c r="E4" i="1"/>
  <c r="E3" i="1"/>
  <c r="E2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<sst xmlns="http://schemas.openxmlformats.org/spreadsheetml/2006/main" count="42" uniqueCount="26">
  <si>
    <t>Country</t>
  </si>
  <si>
    <t>2024 Rank</t>
  </si>
  <si>
    <t>2022 Rank</t>
  </si>
  <si>
    <t>2020 Rank</t>
  </si>
  <si>
    <t>Oman</t>
  </si>
  <si>
    <t>United Arab Emirates</t>
  </si>
  <si>
    <t>Saudi Arabia</t>
  </si>
  <si>
    <t>Kuwait</t>
  </si>
  <si>
    <t>Bahrain</t>
  </si>
  <si>
    <t>Qatar</t>
  </si>
  <si>
    <t>https://publicadministration.un.org/egovkb/en-us/Data/Compare-Countries</t>
  </si>
  <si>
    <t>https://www.transparency.org/en/cpi/2025</t>
  </si>
  <si>
    <t>2024 Score</t>
  </si>
  <si>
    <t>2022 Score</t>
  </si>
  <si>
    <t>2020 Score</t>
  </si>
  <si>
    <t>2025 Score</t>
  </si>
  <si>
    <t>2023 Score</t>
  </si>
  <si>
    <t>2021 Score</t>
  </si>
  <si>
    <t>2025 Rank</t>
  </si>
  <si>
    <t>2023 Rank</t>
  </si>
  <si>
    <t>2021 Rank</t>
  </si>
  <si>
    <t>2030 Target</t>
  </si>
  <si>
    <t>2040 Target</t>
  </si>
  <si>
    <t>Top 20</t>
  </si>
  <si>
    <t>Top 10</t>
  </si>
  <si>
    <t>Top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</si>
</sst>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b/>
      <sz val="11"/>
      <color theme="1"/>
      <name val="Helvetica"/>
    </font>
    <font>
      <sz val="11"/>
      <color rgb="FF000000"/>
      <name val="Helvetica"/>
    </font>
    <font>
      <u/>
      <sz val="10"/>
      <color rgb="FF0000FF"/>
      <name val="Arial"/>
    </font>
    <font>
      <sz val="8"/>
      <name val="Arial"/>
      <scheme val="minor"/>
    </font>
    <font>
      <sz val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7" fillId="0" borderId="0" xfId="0" applyFont="1"/>
  </cellXfs>
  <cellStyles count="1">
    <cellStyle name="Normal" xfId="0" builtinId="0"/>
  </cellStyles>
  <dxfs count="8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E-Government Development Index -style" pivot="0" count="4" xr9:uid="{00000000-0011-0000-FFFF-FFFF00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Copy of Corruption Perceptions -style" pivot="0" count="4" xr9:uid="{00000000-0011-0000-FFFF-FFFF01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9" displayName="Table9" ref="A1:I7">
  <tableColumns count="9">
    <tableColumn id="1" xr3:uid="{00000000-0010-0000-0000-000001000000}" name="Country"/>
    <tableColumn id="2" xr3:uid="{00000000-0010-0000-0000-000002000000}" name="2024 Rank"/>
    <tableColumn id="3" xr3:uid="{00000000-0010-0000-0000-000003000000}" name="2024 Score"/>
    <tableColumn id="4" xr3:uid="{00000000-0010-0000-0000-000004000000}" name="2022 Rank"/>
    <tableColumn id="5" xr3:uid="{00000000-0010-0000-0000-000005000000}" name="2022 Score"/>
    <tableColumn id="6" xr3:uid="{00000000-0010-0000-0000-000006000000}" name="2020 Rank"/>
    <tableColumn id="7" xr3:uid="{00000000-0010-0000-0000-000007000000}" name="2020 Score"/>
    <tableColumn id="8" xr3:uid="{C36863E9-B4AB-4B14-BF79-EDA5ED1D5CD4}" name="2030 Target"/>
    <tableColumn id="9" xr3:uid="{0E83365C-9E81-4F26-A1C8-328B8FA55E03}" name="2040 Target"/>
  </tableColumns>
  <tableStyleInfo name="TableStyleLight9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A1:O7">
  <tableColumns count="15">
    <tableColumn id="1" xr3:uid="{00000000-0010-0000-0100-000001000000}" name="Country"/>
    <tableColumn id="2" xr3:uid="{00000000-0010-0000-0100-000002000000}" name="2025 Rank"/>
    <tableColumn id="3" xr3:uid="{00000000-0010-0000-0100-000003000000}" name="2025 Score"/>
    <tableColumn id="4" xr3:uid="{00000000-0010-0000-0100-000004000000}" name="2024 Rank"/>
    <tableColumn id="5" xr3:uid="{00000000-0010-0000-0100-000005000000}" name="2024 Score"/>
    <tableColumn id="6" xr3:uid="{00000000-0010-0000-0100-000006000000}" name="2023 Rank"/>
    <tableColumn id="7" xr3:uid="{00000000-0010-0000-0100-000007000000}" name="2023 Score"/>
    <tableColumn id="8" xr3:uid="{00000000-0010-0000-0100-000008000000}" name="2022 Rank"/>
    <tableColumn id="9" xr3:uid="{00000000-0010-0000-0100-000009000000}" name="2022 Score"/>
    <tableColumn id="10" xr3:uid="{00000000-0010-0000-0100-00000A000000}" name="2021 Rank"/>
    <tableColumn id="11" xr3:uid="{00000000-0010-0000-0100-00000B000000}" name="2021 Score"/>
    <tableColumn id="12" xr3:uid="{00000000-0010-0000-0100-00000C000000}" name="2020 Rank"/>
    <tableColumn id="13" xr3:uid="{00000000-0010-0000-0100-00000D000000}" name="2020 Score"/>
    <tableColumn id="14" xr3:uid="{DAE89E96-E9BC-4DF4-8F0A-E90D82F4708E}" name="2030 Target"/>
    <tableColumn id="15" xr3:uid="{3A9BB24A-FCB8-4098-8C0E-205A94F5F765}" name="2040 Target"/>
  </tableColumns>
  <tableStyleInfo name="TableStyleLight9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publicadministration.un.org/egovkb/en-us/Data/Compare-Countrie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www.transparency.org/en/cpi/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"/>
  <sheetViews>
    <sheetView tabSelected="1" workbookViewId="0">
      <pane ySplit="1" topLeftCell="A2" activePane="bottomLeft" state="frozen"/>
      <selection pane="bottomLeft" activeCell="E19" sqref="E19"/>
    </sheetView>
  </sheetViews>
  <sheetFormatPr defaultColWidth="12.6640625" defaultRowHeight="15.75" customHeight="1" x14ac:dyDescent="0.25"/>
  <cols>
    <col min="1" max="1" width="17.88671875" customWidth="1"/>
    <col min="2" max="6" width="13.33203125" customWidth="1"/>
  </cols>
  <sheetData>
    <row r="1" spans="1:9" ht="22.5" customHeight="1" x14ac:dyDescent="0.25">
      <c r="A1" s="1" t="s">
        <v>0</v>
      </c>
      <c r="B1" s="1" t="s">
        <v>1</v>
      </c>
      <c r="C1" s="2" t="s">
        <v>12</v>
      </c>
      <c r="D1" s="1" t="s">
        <v>2</v>
      </c>
      <c r="E1" s="2" t="s">
        <v>13</v>
      </c>
      <c r="F1" s="1" t="s">
        <v>3</v>
      </c>
      <c r="G1" s="1" t="s">
        <v>14</v>
      </c>
      <c r="H1" s="11" t="s">
        <v>21</v>
      </c>
      <c r="I1" s="11" t="s">
        <v>22</v>
      </c>
    </row>
    <row r="2" spans="1:9" ht="22.5" customHeight="1" x14ac:dyDescent="0.25">
      <c r="A2" s="3" t="s">
        <v>4</v>
      </c>
      <c r="B2" s="3">
        <v>41</v>
      </c>
      <c r="C2" s="3">
        <f xml:space="preserve"> 0.8576 * 100</f>
        <v>85.76</v>
      </c>
      <c r="D2" s="3">
        <v>50</v>
      </c>
      <c r="E2" s="3">
        <f xml:space="preserve"> 100 * 0.7834</f>
        <v>78.34</v>
      </c>
      <c r="F2" s="3">
        <v>50</v>
      </c>
      <c r="G2" s="3">
        <f xml:space="preserve"> 100*0.7719</f>
        <v>77.19</v>
      </c>
      <c r="H2" t="s">
        <v>23</v>
      </c>
      <c r="I2" t="s">
        <v>24</v>
      </c>
    </row>
    <row r="3" spans="1:9" ht="22.5" customHeight="1" x14ac:dyDescent="0.25">
      <c r="A3" s="3" t="s">
        <v>5</v>
      </c>
      <c r="B3" s="3">
        <v>11</v>
      </c>
      <c r="C3" s="3">
        <f xml:space="preserve"> 0.9533 * 100</f>
        <v>95.33</v>
      </c>
      <c r="D3" s="3">
        <v>13</v>
      </c>
      <c r="E3" s="3">
        <f xml:space="preserve"> 100 *0.901</f>
        <v>90.100000000000009</v>
      </c>
      <c r="F3" s="3">
        <v>21</v>
      </c>
      <c r="G3" s="3">
        <f xml:space="preserve"> 100 *0.8555</f>
        <v>85.55</v>
      </c>
    </row>
    <row r="4" spans="1:9" ht="22.5" customHeight="1" x14ac:dyDescent="0.25">
      <c r="A4" s="3" t="s">
        <v>6</v>
      </c>
      <c r="B4" s="3">
        <v>6</v>
      </c>
      <c r="C4" s="3">
        <f xml:space="preserve"> 100 * 0.9602</f>
        <v>96.02000000000001</v>
      </c>
      <c r="D4" s="3">
        <v>31</v>
      </c>
      <c r="E4" s="3">
        <f xml:space="preserve"> 100 * 0.8539</f>
        <v>85.39</v>
      </c>
      <c r="F4" s="3">
        <v>43</v>
      </c>
      <c r="G4" s="3">
        <f xml:space="preserve"> 100 *0.7991</f>
        <v>79.91</v>
      </c>
    </row>
    <row r="5" spans="1:9" ht="22.5" customHeight="1" x14ac:dyDescent="0.25">
      <c r="A5" s="3" t="s">
        <v>7</v>
      </c>
      <c r="B5" s="3">
        <v>66</v>
      </c>
      <c r="C5" s="3">
        <f xml:space="preserve"> 100 *0.7802</f>
        <v>78.02</v>
      </c>
      <c r="D5" s="3">
        <v>61</v>
      </c>
      <c r="E5" s="3">
        <f xml:space="preserve"> 100 *0.7484</f>
        <v>74.839999999999989</v>
      </c>
      <c r="F5" s="3">
        <v>46</v>
      </c>
      <c r="G5" s="3">
        <f xml:space="preserve"> 100 *0.7913</f>
        <v>79.13</v>
      </c>
    </row>
    <row r="6" spans="1:9" ht="22.5" customHeight="1" x14ac:dyDescent="0.25">
      <c r="A6" s="3" t="s">
        <v>8</v>
      </c>
      <c r="B6" s="3">
        <v>18</v>
      </c>
      <c r="C6" s="3">
        <f xml:space="preserve"> 100 *0.9196</f>
        <v>91.96</v>
      </c>
      <c r="D6" s="3">
        <v>54</v>
      </c>
      <c r="E6" s="3">
        <f xml:space="preserve"> 100 *0.7707</f>
        <v>77.070000000000007</v>
      </c>
      <c r="F6" s="3">
        <v>38</v>
      </c>
      <c r="G6" s="3">
        <f xml:space="preserve"> 100 *0.8213</f>
        <v>82.13000000000001</v>
      </c>
    </row>
    <row r="7" spans="1:9" ht="22.5" customHeight="1" x14ac:dyDescent="0.25">
      <c r="A7" s="3" t="s">
        <v>9</v>
      </c>
      <c r="B7" s="3">
        <v>53</v>
      </c>
      <c r="C7" s="3">
        <f xml:space="preserve"> 100 * 0.8244</f>
        <v>82.44</v>
      </c>
      <c r="D7" s="3">
        <v>78</v>
      </c>
      <c r="E7" s="3">
        <f>100 *0.7149</f>
        <v>71.489999999999995</v>
      </c>
      <c r="F7" s="3">
        <v>66</v>
      </c>
      <c r="G7" s="3">
        <f xml:space="preserve"> 100 *0.7173</f>
        <v>71.73</v>
      </c>
    </row>
    <row r="9" spans="1:9" ht="13.2" x14ac:dyDescent="0.25">
      <c r="A9" s="4" t="s">
        <v>10</v>
      </c>
    </row>
  </sheetData>
  <phoneticPr fontId="6" type="noConversion"/>
  <hyperlinks>
    <hyperlink ref="A9" r:id="rId1" xr:uid="{00000000-0004-0000-0000-000000000000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9"/>
  <sheetViews>
    <sheetView topLeftCell="B1" workbookViewId="0">
      <pane ySplit="1" topLeftCell="A2" activePane="bottomLeft" state="frozen"/>
      <selection pane="bottomLeft" sqref="A1:O7"/>
    </sheetView>
  </sheetViews>
  <sheetFormatPr defaultColWidth="12.6640625" defaultRowHeight="15.75" customHeight="1" x14ac:dyDescent="0.25"/>
  <cols>
    <col min="1" max="1" width="21.44140625" customWidth="1"/>
    <col min="2" max="12" width="14.6640625" customWidth="1"/>
  </cols>
  <sheetData>
    <row r="1" spans="1:15" ht="22.5" customHeight="1" x14ac:dyDescent="0.25">
      <c r="A1" s="5" t="s">
        <v>0</v>
      </c>
      <c r="B1" s="6" t="s">
        <v>18</v>
      </c>
      <c r="C1" s="7" t="s">
        <v>15</v>
      </c>
      <c r="D1" s="6" t="s">
        <v>1</v>
      </c>
      <c r="E1" s="7" t="s">
        <v>12</v>
      </c>
      <c r="F1" s="6" t="s">
        <v>19</v>
      </c>
      <c r="G1" s="7" t="s">
        <v>16</v>
      </c>
      <c r="H1" s="6" t="s">
        <v>2</v>
      </c>
      <c r="I1" s="7" t="s">
        <v>13</v>
      </c>
      <c r="J1" s="6" t="s">
        <v>20</v>
      </c>
      <c r="K1" s="7" t="s">
        <v>17</v>
      </c>
      <c r="L1" s="6" t="s">
        <v>3</v>
      </c>
      <c r="M1" s="6" t="s">
        <v>14</v>
      </c>
      <c r="N1" t="s">
        <v>21</v>
      </c>
      <c r="O1" t="s">
        <v>22</v>
      </c>
    </row>
    <row r="2" spans="1:15" ht="22.5" customHeight="1" x14ac:dyDescent="0.25">
      <c r="A2" s="8" t="s">
        <v>8</v>
      </c>
      <c r="B2" s="9">
        <v>56</v>
      </c>
      <c r="C2" s="9">
        <v>50</v>
      </c>
      <c r="D2" s="9">
        <v>53</v>
      </c>
      <c r="E2" s="9">
        <v>53</v>
      </c>
      <c r="F2" s="9">
        <v>76</v>
      </c>
      <c r="G2" s="9">
        <v>42</v>
      </c>
      <c r="H2" s="9">
        <v>69</v>
      </c>
      <c r="I2" s="9">
        <v>44</v>
      </c>
      <c r="J2" s="9">
        <v>78</v>
      </c>
      <c r="K2" s="9">
        <v>42</v>
      </c>
      <c r="L2" s="9">
        <v>78</v>
      </c>
      <c r="M2" s="9">
        <v>42</v>
      </c>
    </row>
    <row r="3" spans="1:15" ht="22.5" customHeight="1" x14ac:dyDescent="0.25">
      <c r="A3" s="8" t="s">
        <v>7</v>
      </c>
      <c r="B3" s="9">
        <v>65</v>
      </c>
      <c r="C3" s="9">
        <v>46</v>
      </c>
      <c r="D3" s="9">
        <v>65</v>
      </c>
      <c r="E3" s="9">
        <v>46</v>
      </c>
      <c r="F3" s="9">
        <v>63</v>
      </c>
      <c r="G3" s="9">
        <v>46</v>
      </c>
      <c r="H3" s="9">
        <v>77</v>
      </c>
      <c r="I3" s="9">
        <v>42</v>
      </c>
      <c r="J3" s="9">
        <v>73</v>
      </c>
      <c r="K3" s="9">
        <v>43</v>
      </c>
      <c r="L3" s="9">
        <v>78</v>
      </c>
      <c r="M3" s="9">
        <v>42</v>
      </c>
    </row>
    <row r="4" spans="1:15" ht="22.5" customHeight="1" x14ac:dyDescent="0.25">
      <c r="A4" s="8" t="s">
        <v>4</v>
      </c>
      <c r="B4" s="9">
        <v>54</v>
      </c>
      <c r="C4" s="9">
        <v>52</v>
      </c>
      <c r="D4" s="9">
        <v>50</v>
      </c>
      <c r="E4" s="9">
        <v>55</v>
      </c>
      <c r="F4" s="9">
        <v>70</v>
      </c>
      <c r="G4" s="9">
        <v>43</v>
      </c>
      <c r="H4" s="9">
        <v>69</v>
      </c>
      <c r="I4" s="9">
        <v>44</v>
      </c>
      <c r="J4" s="9">
        <v>56</v>
      </c>
      <c r="K4" s="9">
        <v>52</v>
      </c>
      <c r="L4" s="9">
        <v>49</v>
      </c>
      <c r="M4" s="9">
        <v>54</v>
      </c>
      <c r="N4" t="s">
        <v>25</v>
      </c>
      <c r="O4" t="s">
        <v>23</v>
      </c>
    </row>
    <row r="5" spans="1:15" ht="22.5" customHeight="1" x14ac:dyDescent="0.25">
      <c r="A5" s="8" t="s">
        <v>9</v>
      </c>
      <c r="B5" s="9">
        <v>41</v>
      </c>
      <c r="C5" s="9">
        <v>58</v>
      </c>
      <c r="D5" s="9">
        <v>38</v>
      </c>
      <c r="E5" s="9">
        <v>59</v>
      </c>
      <c r="F5" s="9">
        <v>40</v>
      </c>
      <c r="G5" s="9">
        <v>58</v>
      </c>
      <c r="H5" s="9">
        <v>40</v>
      </c>
      <c r="I5" s="9">
        <v>58</v>
      </c>
      <c r="J5" s="9">
        <v>31</v>
      </c>
      <c r="K5" s="9">
        <v>63</v>
      </c>
      <c r="L5" s="9">
        <v>30</v>
      </c>
      <c r="M5" s="9">
        <v>63</v>
      </c>
    </row>
    <row r="6" spans="1:15" ht="22.5" customHeight="1" x14ac:dyDescent="0.25">
      <c r="A6" s="8" t="s">
        <v>6</v>
      </c>
      <c r="B6" s="9">
        <v>45</v>
      </c>
      <c r="C6" s="9">
        <v>57</v>
      </c>
      <c r="D6" s="9">
        <v>38</v>
      </c>
      <c r="E6" s="9">
        <v>59</v>
      </c>
      <c r="F6" s="9">
        <v>53</v>
      </c>
      <c r="G6" s="9">
        <v>52</v>
      </c>
      <c r="H6" s="9">
        <v>54</v>
      </c>
      <c r="I6" s="9">
        <v>51</v>
      </c>
      <c r="J6" s="9">
        <v>52</v>
      </c>
      <c r="K6" s="9">
        <v>53</v>
      </c>
      <c r="L6" s="9">
        <v>52</v>
      </c>
      <c r="M6" s="9">
        <v>53</v>
      </c>
    </row>
    <row r="7" spans="1:15" ht="22.5" customHeight="1" x14ac:dyDescent="0.25">
      <c r="A7" s="8" t="s">
        <v>5</v>
      </c>
      <c r="B7" s="9">
        <v>21</v>
      </c>
      <c r="C7" s="9">
        <v>69</v>
      </c>
      <c r="D7" s="9">
        <v>23</v>
      </c>
      <c r="E7" s="9">
        <v>68</v>
      </c>
      <c r="F7" s="9">
        <v>26</v>
      </c>
      <c r="G7" s="9">
        <v>68</v>
      </c>
      <c r="H7" s="9">
        <v>27</v>
      </c>
      <c r="I7" s="9">
        <v>67</v>
      </c>
      <c r="J7" s="9">
        <v>24</v>
      </c>
      <c r="K7" s="9">
        <v>69</v>
      </c>
      <c r="L7" s="9">
        <v>21</v>
      </c>
      <c r="M7" s="9">
        <v>71</v>
      </c>
    </row>
    <row r="9" spans="1:15" ht="13.2" x14ac:dyDescent="0.25">
      <c r="A9" s="10" t="s">
        <v>11</v>
      </c>
    </row>
  </sheetData>
  <phoneticPr fontId="6" type="noConversion"/>
  <hyperlinks>
    <hyperlink ref="A9" r:id="rId1" xr:uid="{00000000-0004-0000-0100-00000000000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E-Government Development Index </vt:lpstr>
      <vt:lpstr>Corruption Perceptions Index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Musallam Al Kathiri</cp:lastModifiedBy>
  <dcterms:modified xsi:type="dcterms:W3CDTF">2026-05-03T14:35:57Z</dcterms:modified>
</cp:coreProperties>
</file>