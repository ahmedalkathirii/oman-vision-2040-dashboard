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7MD\Desktop\DV_Project\"/>
    </mc:Choice>
  </mc:AlternateContent>
  <xr:revisionPtr revIDLastSave="0" documentId="13_ncr:1_{497873FC-2071-4B67-9A2D-267679F4DA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lation Rate (CPI)" sheetId="1" r:id="rId1"/>
    <sheet name="Economic Complexity Index" sheetId="2" r:id="rId2"/>
    <sheet name="Economic Freedom Index " sheetId="3" r:id="rId3"/>
    <sheet name="Legatum Prosperity Index (Over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6" i="2"/>
  <c r="C5" i="2"/>
  <c r="C4" i="2"/>
  <c r="C3" i="2"/>
</calcChain>
</file>

<file path=xl/sharedStrings.xml><?xml version="1.0" encoding="utf-8"?>
<sst xmlns="http://schemas.openxmlformats.org/spreadsheetml/2006/main" count="85" uniqueCount="41">
  <si>
    <t>Country Name</t>
  </si>
  <si>
    <t>2020</t>
  </si>
  <si>
    <t>2021</t>
  </si>
  <si>
    <t>2022</t>
  </si>
  <si>
    <t>2023</t>
  </si>
  <si>
    <t>2024</t>
  </si>
  <si>
    <t>United Arab Emirates</t>
  </si>
  <si>
    <t>Bahrain</t>
  </si>
  <si>
    <t>Kuwait</t>
  </si>
  <si>
    <t>Oman</t>
  </si>
  <si>
    <t>Qatar</t>
  </si>
  <si>
    <t>Saudi Arabia</t>
  </si>
  <si>
    <t>https://data.worldbank.org/indicator/FP.CPI.TOTL.ZG?locations=OM-SA-QA-BH-KW-AE</t>
  </si>
  <si>
    <t>Country</t>
  </si>
  <si>
    <t>https://oec.world/en/rankings/eci/hs6/hs17?tab=table</t>
  </si>
  <si>
    <t>https://economicfreedom.heritage.org/pages/all-country-scores</t>
  </si>
  <si>
    <t>2023 Rank</t>
  </si>
  <si>
    <t>2022  Rank</t>
  </si>
  <si>
    <t>2021 Rank</t>
  </si>
  <si>
    <t>2020 Rank</t>
  </si>
  <si>
    <t>https://index.prosperity.com/rankings</t>
  </si>
  <si>
    <t>2020 Score</t>
  </si>
  <si>
    <t>2021 Score</t>
  </si>
  <si>
    <t>2022 Score</t>
  </si>
  <si>
    <t>2023 Score</t>
  </si>
  <si>
    <t>2024 Score</t>
  </si>
  <si>
    <t>2022 Rank</t>
  </si>
  <si>
    <t>2024 Rank</t>
  </si>
  <si>
    <t>2025 Rank</t>
  </si>
  <si>
    <t>2025 Score</t>
  </si>
  <si>
    <t>2026 Rank</t>
  </si>
  <si>
    <t>2026 Score</t>
  </si>
  <si>
    <t>Legatum Prosperity Index (Overall)</t>
  </si>
  <si>
    <t>2030 Target</t>
  </si>
  <si>
    <t>2040 Target</t>
  </si>
  <si>
    <t>2%–3%</t>
  </si>
  <si>
    <t>Top 20</t>
  </si>
  <si>
    <t>Top 10</t>
  </si>
  <si>
    <t>Top 50</t>
  </si>
  <si>
    <t>Top 40</t>
  </si>
  <si>
    <t>Top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</si>
</sst>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0"/>
      <color rgb="FF000000"/>
      <name val="Arial"/>
      <scheme val="minor"/>
    </font>
    <font>
      <sz val="11"/>
      <color theme="1"/>
      <name val="&quot;Aptos Narrow&quot;"/>
    </font>
    <font>
      <sz val="11"/>
      <color rgb="FF000000"/>
      <name val="&quot;Aptos Narrow&quot;"/>
    </font>
    <font>
      <u/>
      <sz val="10"/>
      <color rgb="FF0000FF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0"/>
      <color rgb="FF7B3F00"/>
      <name val="Arial"/>
    </font>
    <font>
      <sz val="10"/>
      <color theme="1"/>
      <name val="&quot;Google Sans Text&quot;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BF1DE"/>
        <bgColor rgb="FFEBF1DE"/>
      </patternFill>
    </fill>
    <fill>
      <patternFill patternType="solid">
        <fgColor rgb="FFFFF2CC"/>
        <bgColor rgb="FFFFF2CC"/>
      </patternFill>
    </fill>
    <fill>
      <patternFill patternType="solid">
        <fgColor rgb="FFFDEBD0"/>
        <bgColor rgb="FFFDEBD0"/>
      </patternFill>
    </fill>
    <fill>
      <patternFill patternType="solid">
        <fgColor rgb="FFFDEDEC"/>
        <bgColor rgb="FFFDEDEC"/>
      </patternFill>
    </fill>
    <fill>
      <patternFill patternType="solid">
        <fgColor rgb="FFF9EBEA"/>
        <bgColor rgb="FFF9EBEA"/>
      </patternFill>
    </fill>
    <fill>
      <patternFill patternType="solid">
        <fgColor rgb="FFFAD7A0"/>
        <bgColor rgb="FFFAD7A0"/>
      </patternFill>
    </fill>
    <fill>
      <patternFill patternType="solid">
        <fgColor rgb="FFF8C471"/>
        <bgColor rgb="FFF8C471"/>
      </patternFill>
    </fill>
    <fill>
      <patternFill patternType="solid">
        <fgColor rgb="FFF5CBA7"/>
        <bgColor rgb="FFF5CBA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Inflation Rate (CPI)-style" pivot="0" count="4" xr9:uid="{00000000-0011-0000-FFFF-FFFF00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Copy of Economic Complexity Ind-style" pivot="0" count="4" xr9:uid="{00000000-0011-0000-FFFF-FFFF01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Copy of Economic Freedom Index -style" pivot="0" count="4" xr9:uid="{00000000-0011-0000-FFFF-FFFF02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Copy of Legatum Prosperity Inde-style" pivot="0" count="4" xr9:uid="{00000000-0011-0000-FFFF-FFFF03000000}">
      <tableStyleElement type="wholeTable" size="0" dxfId="7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2" displayName="Table12" ref="A1:H7">
  <tableColumns count="8">
    <tableColumn id="1" xr3:uid="{00000000-0010-0000-0000-000001000000}" name="Country Name"/>
    <tableColumn id="2" xr3:uid="{00000000-0010-0000-0000-000002000000}" name="2020"/>
    <tableColumn id="3" xr3:uid="{00000000-0010-0000-0000-000003000000}" name="2021"/>
    <tableColumn id="4" xr3:uid="{00000000-0010-0000-0000-000004000000}" name="2022"/>
    <tableColumn id="5" xr3:uid="{00000000-0010-0000-0000-000005000000}" name="2023"/>
    <tableColumn id="6" xr3:uid="{00000000-0010-0000-0000-000006000000}" name="2024"/>
    <tableColumn id="7" xr3:uid="{A41FC992-9F0B-4A1A-90E2-E27D1583EEAE}" name="2030 Target"/>
    <tableColumn id="8" xr3:uid="{7BB7E7FD-10E6-4E66-BA86-0494BA975572}" name="2040 Target"/>
  </tableColumns>
  <tableStyleInfo name="TableStyleMedium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M6">
  <tableColumns count="13">
    <tableColumn id="1" xr3:uid="{00000000-0010-0000-0100-000001000000}" name="Country"/>
    <tableColumn id="2" xr3:uid="{00000000-0010-0000-0100-000002000000}" name="2020 Rank"/>
    <tableColumn id="3" xr3:uid="{00000000-0010-0000-0100-000003000000}" name="2020 Score" dataDxfId="3">
      <calculatedColumnFormula>(0.038751501+2.5)/5*100</calculatedColumnFormula>
    </tableColumn>
    <tableColumn id="4" xr3:uid="{00000000-0010-0000-0100-000004000000}" name="2021 Rank"/>
    <tableColumn id="5" xr3:uid="{00000000-0010-0000-0100-000005000000}" name="2021 Score"/>
    <tableColumn id="6" xr3:uid="{00000000-0010-0000-0100-000006000000}" name="2022 Rank"/>
    <tableColumn id="7" xr3:uid="{00000000-0010-0000-0100-000007000000}" name="2022 Score" dataDxfId="2"/>
    <tableColumn id="8" xr3:uid="{00000000-0010-0000-0100-000008000000}" name="2023 Rank"/>
    <tableColumn id="9" xr3:uid="{00000000-0010-0000-0100-000009000000}" name="2023 Score" dataDxfId="1"/>
    <tableColumn id="10" xr3:uid="{00000000-0010-0000-0100-00000A000000}" name="2024 Rank"/>
    <tableColumn id="11" xr3:uid="{00000000-0010-0000-0100-00000B000000}" name="2024 Score" dataDxfId="0"/>
    <tableColumn id="12" xr3:uid="{6F2EC35F-1653-4449-B20C-09DD9E74CF28}" name="2030 Target"/>
    <tableColumn id="13" xr3:uid="{12545540-25B9-47ED-BB71-61B0BA499D27}" name="2040 Target"/>
  </tableColumns>
  <tableStyleInfo name="TableStyleLight9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1" displayName="Table11" ref="A1:Q7">
  <tableColumns count="17">
    <tableColumn id="1" xr3:uid="{00000000-0010-0000-0200-000001000000}" name="Country"/>
    <tableColumn id="2" xr3:uid="{00000000-0010-0000-0200-000002000000}" name="2020 Rank"/>
    <tableColumn id="3" xr3:uid="{00000000-0010-0000-0200-000003000000}" name="2020 Score"/>
    <tableColumn id="4" xr3:uid="{00000000-0010-0000-0200-000004000000}" name="2021 Rank"/>
    <tableColumn id="5" xr3:uid="{00000000-0010-0000-0200-000005000000}" name="2021 Score"/>
    <tableColumn id="6" xr3:uid="{00000000-0010-0000-0200-000006000000}" name="2022 Rank"/>
    <tableColumn id="7" xr3:uid="{00000000-0010-0000-0200-000007000000}" name="2022 Score"/>
    <tableColumn id="8" xr3:uid="{00000000-0010-0000-0200-000008000000}" name="2023 Rank"/>
    <tableColumn id="9" xr3:uid="{00000000-0010-0000-0200-000009000000}" name="2023 Score"/>
    <tableColumn id="10" xr3:uid="{00000000-0010-0000-0200-00000A000000}" name="2024 Rank"/>
    <tableColumn id="11" xr3:uid="{00000000-0010-0000-0200-00000B000000}" name="2024 Score"/>
    <tableColumn id="12" xr3:uid="{00000000-0010-0000-0200-00000C000000}" name="2025 Rank"/>
    <tableColumn id="13" xr3:uid="{00000000-0010-0000-0200-00000D000000}" name="2025 Score"/>
    <tableColumn id="14" xr3:uid="{00000000-0010-0000-0200-00000E000000}" name="2026 Rank"/>
    <tableColumn id="15" xr3:uid="{00000000-0010-0000-0200-00000F000000}" name="2026 Score"/>
    <tableColumn id="16" xr3:uid="{DF1AB8EE-62A1-42A0-B463-070D91630B5B}" name="2030 Target"/>
    <tableColumn id="17" xr3:uid="{2870BA76-E68A-47BA-B6FC-88CE41310B03}" name="2040 Target"/>
  </tableColumns>
  <tableStyleInfo name="TableStyleLight9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2:K8">
  <tableColumns count="11">
    <tableColumn id="1" xr3:uid="{00000000-0010-0000-0300-000001000000}" name="Country"/>
    <tableColumn id="2" xr3:uid="{00000000-0010-0000-0300-000002000000}" name="2023 Rank"/>
    <tableColumn id="3" xr3:uid="{00000000-0010-0000-0300-000003000000}" name="2023 Score"/>
    <tableColumn id="4" xr3:uid="{00000000-0010-0000-0300-000004000000}" name="2022  Rank"/>
    <tableColumn id="5" xr3:uid="{00000000-0010-0000-0300-000005000000}" name="2022 Score"/>
    <tableColumn id="6" xr3:uid="{00000000-0010-0000-0300-000006000000}" name="2021 Rank"/>
    <tableColumn id="7" xr3:uid="{00000000-0010-0000-0300-000007000000}" name="2021 Score"/>
    <tableColumn id="8" xr3:uid="{00000000-0010-0000-0300-000008000000}" name="2020 Rank"/>
    <tableColumn id="9" xr3:uid="{00000000-0010-0000-0300-000009000000}" name="2020 Score"/>
    <tableColumn id="10" xr3:uid="{5B4EF9B8-14A8-400B-B64A-05DA85E038D2}" name="2030 Target"/>
    <tableColumn id="11" xr3:uid="{38A5FC03-7452-49AC-9EEE-6E0D18B10914}" name="2040 Target"/>
  </tableColumns>
  <tableStyleInfo name="TableStyleLight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ata.worldbank.org/indicator/FP.CPI.TOTL.ZG?locations=OM-SA-QA-BH-KW-A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oec.world/en/rankings/eci/hs6/hs17?tab=tabl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economicfreedom.heritage.org/pages/all-country-scores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index.prosperity.com/rank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"/>
  <sheetViews>
    <sheetView workbookViewId="0">
      <pane ySplit="1" topLeftCell="A2" activePane="bottomLeft" state="frozen"/>
      <selection pane="bottomLeft" activeCell="H1" sqref="H1"/>
    </sheetView>
  </sheetViews>
  <sheetFormatPr defaultColWidth="12.6640625" defaultRowHeight="15.75" customHeight="1"/>
  <cols>
    <col min="1" max="1" width="25.6640625" customWidth="1"/>
    <col min="2" max="6" width="13.33203125" bestFit="1" customWidth="1"/>
  </cols>
  <sheetData>
    <row r="1" spans="1:8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33</v>
      </c>
      <c r="H1" t="s">
        <v>34</v>
      </c>
    </row>
    <row r="2" spans="1:8" ht="22.5" customHeight="1">
      <c r="A2" s="2" t="s">
        <v>6</v>
      </c>
      <c r="B2" s="3">
        <v>-2.0794031799999999</v>
      </c>
      <c r="C2" s="3">
        <v>0.179935336</v>
      </c>
      <c r="D2" s="3">
        <v>5.2912260440000001</v>
      </c>
      <c r="E2" s="3">
        <v>1.626708372</v>
      </c>
      <c r="F2" s="3">
        <v>1.663365102</v>
      </c>
    </row>
    <row r="3" spans="1:8" ht="22.5" customHeight="1">
      <c r="A3" s="2" t="s">
        <v>7</v>
      </c>
      <c r="B3" s="3">
        <v>-2.3177062899999998</v>
      </c>
      <c r="C3" s="3">
        <v>-0.60631939000000001</v>
      </c>
      <c r="D3" s="3">
        <v>3.6257410430000001</v>
      </c>
      <c r="E3" s="3">
        <v>7.4620677999999996E-2</v>
      </c>
      <c r="F3" s="3">
        <v>0.91963545999999996</v>
      </c>
    </row>
    <row r="4" spans="1:8" ht="22.5" customHeight="1">
      <c r="A4" s="2" t="s">
        <v>8</v>
      </c>
      <c r="B4" s="3">
        <v>2.1017295479999998</v>
      </c>
      <c r="C4" s="3">
        <v>3.4236294759999999</v>
      </c>
      <c r="D4" s="3">
        <v>3.9806496199999999</v>
      </c>
      <c r="E4" s="3">
        <v>3.64216403</v>
      </c>
      <c r="F4" s="3">
        <v>2.8985507250000002</v>
      </c>
    </row>
    <row r="5" spans="1:8" ht="22.5" customHeight="1">
      <c r="A5" s="2" t="s">
        <v>9</v>
      </c>
      <c r="B5" s="3">
        <v>-0.40640292</v>
      </c>
      <c r="C5" s="3">
        <v>1.6822118589999999</v>
      </c>
      <c r="D5" s="3">
        <v>2.5061425060000002</v>
      </c>
      <c r="E5" s="3">
        <v>0.95078299799999999</v>
      </c>
      <c r="F5" s="3">
        <v>0.59358923600000002</v>
      </c>
      <c r="G5" t="s">
        <v>35</v>
      </c>
      <c r="H5" t="s">
        <v>35</v>
      </c>
    </row>
    <row r="6" spans="1:8" ht="22.5" customHeight="1">
      <c r="A6" s="2" t="s">
        <v>10</v>
      </c>
      <c r="B6" s="3">
        <v>-2.5403150299999999</v>
      </c>
      <c r="C6" s="3">
        <v>2.3044656570000002</v>
      </c>
      <c r="D6" s="3">
        <v>4.9952755370000004</v>
      </c>
      <c r="E6" s="3">
        <v>3.027648992</v>
      </c>
      <c r="F6" s="3">
        <v>1.267343103</v>
      </c>
    </row>
    <row r="7" spans="1:8" ht="22.5" customHeight="1">
      <c r="A7" s="2" t="s">
        <v>11</v>
      </c>
      <c r="B7" s="3">
        <v>3.3723496100000001</v>
      </c>
      <c r="C7" s="3">
        <v>3.063289889</v>
      </c>
      <c r="D7" s="3">
        <v>2.4740737190000002</v>
      </c>
      <c r="E7" s="3">
        <v>2.327085184</v>
      </c>
      <c r="F7" s="3">
        <v>1.6879211240000001</v>
      </c>
    </row>
    <row r="9" spans="1:8" ht="13.2">
      <c r="A9" s="4" t="s">
        <v>12</v>
      </c>
    </row>
  </sheetData>
  <phoneticPr fontId="12" type="noConversion"/>
  <hyperlinks>
    <hyperlink ref="A9" r:id="rId1" xr:uid="{00000000-0004-0000-0000-00000000000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9"/>
  <sheetViews>
    <sheetView tabSelected="1" workbookViewId="0">
      <pane ySplit="1" topLeftCell="A2" activePane="bottomLeft" state="frozen"/>
      <selection pane="bottomLeft" activeCell="G16" sqref="G16"/>
    </sheetView>
  </sheetViews>
  <sheetFormatPr defaultColWidth="12.6640625" defaultRowHeight="15.75" customHeight="1"/>
  <cols>
    <col min="1" max="1" width="18.109375" customWidth="1"/>
    <col min="2" max="2" width="13.77734375" customWidth="1"/>
    <col min="3" max="3" width="13.109375" customWidth="1"/>
    <col min="4" max="11" width="13.77734375" customWidth="1"/>
  </cols>
  <sheetData>
    <row r="1" spans="1:13" ht="22.5" customHeight="1">
      <c r="A1" s="5" t="s">
        <v>13</v>
      </c>
      <c r="B1" s="5" t="s">
        <v>19</v>
      </c>
      <c r="C1" s="5" t="s">
        <v>21</v>
      </c>
      <c r="D1" s="5" t="s">
        <v>18</v>
      </c>
      <c r="E1" s="6" t="s">
        <v>22</v>
      </c>
      <c r="F1" s="5" t="s">
        <v>26</v>
      </c>
      <c r="G1" s="6" t="s">
        <v>23</v>
      </c>
      <c r="H1" s="5" t="s">
        <v>16</v>
      </c>
      <c r="I1" s="6" t="s">
        <v>24</v>
      </c>
      <c r="J1" s="5" t="s">
        <v>27</v>
      </c>
      <c r="K1" s="5" t="s">
        <v>25</v>
      </c>
      <c r="L1" t="s">
        <v>33</v>
      </c>
      <c r="M1" t="s">
        <v>34</v>
      </c>
    </row>
    <row r="2" spans="1:13" ht="22.5" customHeight="1">
      <c r="A2" s="7" t="s">
        <v>8</v>
      </c>
      <c r="B2" s="8">
        <v>57</v>
      </c>
      <c r="C2" s="3">
        <f>(0.038751501+2.5)/5*100</f>
        <v>50.775030020000003</v>
      </c>
      <c r="D2" s="8">
        <v>52</v>
      </c>
      <c r="E2">
        <v>54.221423960000003</v>
      </c>
      <c r="F2" s="8">
        <v>50</v>
      </c>
      <c r="G2" s="28">
        <v>55.204235000000004</v>
      </c>
      <c r="H2" s="8">
        <v>53</v>
      </c>
      <c r="I2" s="28">
        <v>53.357046659999995</v>
      </c>
      <c r="J2" s="8">
        <v>49</v>
      </c>
      <c r="K2" s="28">
        <v>54.98535674</v>
      </c>
    </row>
    <row r="3" spans="1:13" ht="22.5" customHeight="1">
      <c r="A3" s="9" t="s">
        <v>9</v>
      </c>
      <c r="B3" s="10">
        <v>71</v>
      </c>
      <c r="C3" s="3">
        <f>(-0.226936757+2.5)/5*100</f>
        <v>45.461264860000007</v>
      </c>
      <c r="D3" s="10">
        <v>73</v>
      </c>
      <c r="E3">
        <v>45.037819199999994</v>
      </c>
      <c r="F3" s="10">
        <v>74</v>
      </c>
      <c r="G3" s="28">
        <v>45.469926540000003</v>
      </c>
      <c r="H3" s="10">
        <v>76</v>
      </c>
      <c r="I3" s="28">
        <v>44.446996439999999</v>
      </c>
      <c r="J3" s="10">
        <v>78</v>
      </c>
      <c r="K3" s="28">
        <v>44.172850539999999</v>
      </c>
      <c r="L3" t="s">
        <v>36</v>
      </c>
      <c r="M3" t="s">
        <v>37</v>
      </c>
    </row>
    <row r="4" spans="1:13" ht="22.5" customHeight="1">
      <c r="A4" s="9" t="s">
        <v>10</v>
      </c>
      <c r="B4" s="10">
        <v>58</v>
      </c>
      <c r="C4" s="3">
        <f>(-0.001805468+2.5)/5*100</f>
        <v>49.963890639999995</v>
      </c>
      <c r="D4" s="10">
        <v>75</v>
      </c>
      <c r="E4">
        <v>44.285563879999998</v>
      </c>
      <c r="F4" s="10">
        <v>68</v>
      </c>
      <c r="G4" s="28">
        <v>48.219079300000004</v>
      </c>
      <c r="H4" s="10">
        <v>79</v>
      </c>
      <c r="I4" s="28">
        <v>43.544801</v>
      </c>
      <c r="J4" s="10">
        <v>74</v>
      </c>
      <c r="K4" s="28">
        <v>45.955347739999993</v>
      </c>
    </row>
    <row r="5" spans="1:13" ht="22.5" customHeight="1">
      <c r="A5" s="7" t="s">
        <v>11</v>
      </c>
      <c r="B5" s="8">
        <v>26</v>
      </c>
      <c r="C5" s="3">
        <f>(1.003847149+2.5)/5*100</f>
        <v>70.076942979999998</v>
      </c>
      <c r="D5" s="8">
        <v>35</v>
      </c>
      <c r="E5">
        <v>65.081584039999996</v>
      </c>
      <c r="F5" s="8">
        <v>35</v>
      </c>
      <c r="G5" s="28">
        <v>65.88677281999999</v>
      </c>
      <c r="H5" s="8">
        <v>36</v>
      </c>
      <c r="I5" s="28">
        <v>64.21845734</v>
      </c>
      <c r="J5" s="8">
        <v>37</v>
      </c>
      <c r="K5" s="28">
        <v>63.644163240000005</v>
      </c>
    </row>
    <row r="6" spans="1:13" ht="22.5" customHeight="1">
      <c r="A6" s="7" t="s">
        <v>6</v>
      </c>
      <c r="B6" s="8">
        <v>51</v>
      </c>
      <c r="C6" s="3">
        <f>(0.228037512+2.5)/5*100</f>
        <v>54.560750239999997</v>
      </c>
      <c r="D6" s="8">
        <v>55</v>
      </c>
      <c r="E6">
        <v>53.551210599999997</v>
      </c>
      <c r="F6" s="8">
        <v>53</v>
      </c>
      <c r="G6" s="28">
        <v>53.902932300000003</v>
      </c>
      <c r="H6" s="8">
        <v>54</v>
      </c>
      <c r="I6" s="28">
        <v>53.162263519999996</v>
      </c>
      <c r="J6" s="8">
        <v>55</v>
      </c>
      <c r="K6" s="28">
        <v>52.390596280000004</v>
      </c>
    </row>
    <row r="9" spans="1:13" ht="13.2">
      <c r="A9" s="4" t="s">
        <v>14</v>
      </c>
    </row>
  </sheetData>
  <phoneticPr fontId="12" type="noConversion"/>
  <hyperlinks>
    <hyperlink ref="A9" r:id="rId1" xr:uid="{00000000-0004-0000-0100-000000000000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0"/>
  <sheetViews>
    <sheetView topLeftCell="D1" workbookViewId="0">
      <pane ySplit="1" topLeftCell="A2" activePane="bottomLeft" state="frozen"/>
      <selection pane="bottomLeft" activeCell="Q1" sqref="Q1"/>
    </sheetView>
  </sheetViews>
  <sheetFormatPr defaultColWidth="12.6640625" defaultRowHeight="15.75" customHeight="1"/>
  <cols>
    <col min="1" max="1" width="19.21875" customWidth="1"/>
    <col min="2" max="15" width="14.88671875" customWidth="1"/>
  </cols>
  <sheetData>
    <row r="1" spans="1:17" ht="22.5" customHeight="1">
      <c r="A1" s="11" t="s">
        <v>13</v>
      </c>
      <c r="B1" s="5" t="s">
        <v>19</v>
      </c>
      <c r="C1" s="6" t="s">
        <v>21</v>
      </c>
      <c r="D1" s="5" t="s">
        <v>18</v>
      </c>
      <c r="E1" s="6" t="s">
        <v>22</v>
      </c>
      <c r="F1" s="5" t="s">
        <v>26</v>
      </c>
      <c r="G1" s="6" t="s">
        <v>23</v>
      </c>
      <c r="H1" s="5" t="s">
        <v>16</v>
      </c>
      <c r="I1" s="6" t="s">
        <v>24</v>
      </c>
      <c r="J1" s="5" t="s">
        <v>27</v>
      </c>
      <c r="K1" s="6" t="s">
        <v>25</v>
      </c>
      <c r="L1" s="5" t="s">
        <v>28</v>
      </c>
      <c r="M1" s="6" t="s">
        <v>29</v>
      </c>
      <c r="N1" s="5" t="s">
        <v>30</v>
      </c>
      <c r="O1" s="5" t="s">
        <v>31</v>
      </c>
      <c r="P1" t="s">
        <v>33</v>
      </c>
      <c r="Q1" t="s">
        <v>34</v>
      </c>
    </row>
    <row r="2" spans="1:17" ht="22.5" customHeight="1">
      <c r="A2" s="12" t="s">
        <v>7</v>
      </c>
      <c r="B2" s="13">
        <v>63</v>
      </c>
      <c r="C2" s="3">
        <v>66.3</v>
      </c>
      <c r="D2" s="14">
        <v>39</v>
      </c>
      <c r="E2" s="3">
        <v>69.900000000000006</v>
      </c>
      <c r="F2" s="15">
        <v>74</v>
      </c>
      <c r="G2" s="3">
        <v>62</v>
      </c>
      <c r="H2" s="16">
        <v>68</v>
      </c>
      <c r="I2" s="3">
        <v>62.5</v>
      </c>
      <c r="J2" s="17">
        <v>54</v>
      </c>
      <c r="K2" s="3">
        <v>63.4</v>
      </c>
      <c r="L2" s="18">
        <v>55</v>
      </c>
      <c r="M2" s="3">
        <v>65.599999999999994</v>
      </c>
      <c r="N2" s="19">
        <v>57</v>
      </c>
      <c r="O2" s="3">
        <v>65.7</v>
      </c>
    </row>
    <row r="3" spans="1:17" ht="22.5" customHeight="1">
      <c r="A3" s="12" t="s">
        <v>8</v>
      </c>
      <c r="B3" s="13">
        <v>79</v>
      </c>
      <c r="C3" s="3">
        <v>63.2</v>
      </c>
      <c r="D3" s="14">
        <v>73</v>
      </c>
      <c r="E3" s="3">
        <v>64.099999999999994</v>
      </c>
      <c r="F3" s="15">
        <v>100</v>
      </c>
      <c r="G3" s="3">
        <v>58.3</v>
      </c>
      <c r="H3" s="16">
        <v>108</v>
      </c>
      <c r="I3" s="3">
        <v>56.7</v>
      </c>
      <c r="J3" s="17">
        <v>90</v>
      </c>
      <c r="K3" s="3">
        <v>58.5</v>
      </c>
      <c r="L3" s="18">
        <v>88</v>
      </c>
      <c r="M3" s="3">
        <v>59.9</v>
      </c>
      <c r="N3" s="19">
        <v>90</v>
      </c>
      <c r="O3" s="3">
        <v>59.9</v>
      </c>
    </row>
    <row r="4" spans="1:17" ht="22.5" customHeight="1">
      <c r="A4" s="12" t="s">
        <v>9</v>
      </c>
      <c r="B4" s="13">
        <v>75</v>
      </c>
      <c r="C4" s="3">
        <v>63.6</v>
      </c>
      <c r="D4" s="14">
        <v>69</v>
      </c>
      <c r="E4" s="3">
        <v>64.599999999999994</v>
      </c>
      <c r="F4" s="15">
        <v>108</v>
      </c>
      <c r="G4" s="3">
        <v>56.6</v>
      </c>
      <c r="H4" s="16">
        <v>95</v>
      </c>
      <c r="I4" s="3">
        <v>58.5</v>
      </c>
      <c r="J4" s="17">
        <v>56</v>
      </c>
      <c r="K4" s="3">
        <v>62.9</v>
      </c>
      <c r="L4" s="18">
        <v>57</v>
      </c>
      <c r="M4" s="3">
        <v>65.400000000000006</v>
      </c>
      <c r="N4" s="19">
        <v>39</v>
      </c>
      <c r="O4" s="3">
        <v>68.5</v>
      </c>
      <c r="P4" t="s">
        <v>38</v>
      </c>
      <c r="Q4" t="s">
        <v>39</v>
      </c>
    </row>
    <row r="5" spans="1:17" ht="22.5" customHeight="1">
      <c r="A5" s="12" t="s">
        <v>10</v>
      </c>
      <c r="B5" s="13">
        <v>31</v>
      </c>
      <c r="C5" s="3">
        <v>72.3</v>
      </c>
      <c r="D5" s="14">
        <v>31</v>
      </c>
      <c r="E5" s="3">
        <v>72</v>
      </c>
      <c r="F5" s="15">
        <v>44</v>
      </c>
      <c r="G5" s="3">
        <v>67.7</v>
      </c>
      <c r="H5" s="16">
        <v>36</v>
      </c>
      <c r="I5" s="3">
        <v>68.599999999999994</v>
      </c>
      <c r="J5" s="17">
        <v>28</v>
      </c>
      <c r="K5" s="3">
        <v>68.8</v>
      </c>
      <c r="L5" s="18">
        <v>26</v>
      </c>
      <c r="M5" s="3">
        <v>70.2</v>
      </c>
      <c r="N5" s="19">
        <v>31</v>
      </c>
      <c r="O5" s="3">
        <v>70.2</v>
      </c>
    </row>
    <row r="6" spans="1:17" ht="22.5" customHeight="1">
      <c r="A6" s="12" t="s">
        <v>11</v>
      </c>
      <c r="B6" s="13">
        <v>83</v>
      </c>
      <c r="C6" s="3">
        <v>62.4</v>
      </c>
      <c r="D6" s="14">
        <v>63</v>
      </c>
      <c r="E6" s="3">
        <v>66</v>
      </c>
      <c r="F6" s="15">
        <v>118</v>
      </c>
      <c r="G6" s="3">
        <v>55.5</v>
      </c>
      <c r="H6" s="16">
        <v>98</v>
      </c>
      <c r="I6" s="3">
        <v>58.3</v>
      </c>
      <c r="J6" s="17">
        <v>69</v>
      </c>
      <c r="K6" s="3">
        <v>61.9</v>
      </c>
      <c r="L6" s="18">
        <v>62</v>
      </c>
      <c r="M6" s="3">
        <v>64.400000000000006</v>
      </c>
      <c r="N6" s="19">
        <v>58</v>
      </c>
      <c r="O6" s="3">
        <v>65.400000000000006</v>
      </c>
    </row>
    <row r="7" spans="1:17" ht="22.5" customHeight="1">
      <c r="A7" s="12" t="s">
        <v>6</v>
      </c>
      <c r="B7" s="13">
        <v>18</v>
      </c>
      <c r="C7" s="3">
        <v>76.2</v>
      </c>
      <c r="D7" s="14">
        <v>14</v>
      </c>
      <c r="E7" s="3">
        <v>76.900000000000006</v>
      </c>
      <c r="F7" s="15">
        <v>33</v>
      </c>
      <c r="G7" s="3">
        <v>70.2</v>
      </c>
      <c r="H7" s="16">
        <v>24</v>
      </c>
      <c r="I7" s="3">
        <v>70.900000000000006</v>
      </c>
      <c r="J7" s="17">
        <v>22</v>
      </c>
      <c r="K7" s="3">
        <v>71.099999999999994</v>
      </c>
      <c r="L7" s="18">
        <v>22</v>
      </c>
      <c r="M7" s="3">
        <v>71.599999999999994</v>
      </c>
      <c r="N7" s="19">
        <v>23</v>
      </c>
      <c r="O7" s="3">
        <v>71.900000000000006</v>
      </c>
    </row>
    <row r="10" spans="1:17" ht="13.2">
      <c r="A10" s="4" t="s">
        <v>15</v>
      </c>
    </row>
  </sheetData>
  <phoneticPr fontId="12" type="noConversion"/>
  <hyperlinks>
    <hyperlink ref="A10" r:id="rId1" xr:uid="{00000000-0004-0000-0200-000000000000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8"/>
  <sheetViews>
    <sheetView workbookViewId="0">
      <pane ySplit="2" topLeftCell="A3" activePane="bottomLeft" state="frozen"/>
      <selection pane="bottomLeft" activeCell="J10" sqref="J10"/>
    </sheetView>
  </sheetViews>
  <sheetFormatPr defaultColWidth="12.6640625" defaultRowHeight="15.75" customHeight="1"/>
  <cols>
    <col min="1" max="1" width="19.33203125" customWidth="1"/>
    <col min="2" max="3" width="13.33203125" customWidth="1"/>
    <col min="4" max="5" width="13.77734375" customWidth="1"/>
    <col min="6" max="7" width="18.88671875" customWidth="1"/>
    <col min="8" max="9" width="19.21875" customWidth="1"/>
  </cols>
  <sheetData>
    <row r="1" spans="1:11" ht="15.75" customHeight="1">
      <c r="A1" s="26" t="s">
        <v>32</v>
      </c>
      <c r="B1" s="27"/>
      <c r="C1" s="27"/>
      <c r="D1" s="27"/>
      <c r="E1" s="27"/>
      <c r="F1" s="27"/>
      <c r="G1" s="27"/>
      <c r="H1" s="27"/>
      <c r="I1" s="27"/>
    </row>
    <row r="2" spans="1:11" ht="22.5" customHeight="1">
      <c r="A2" s="20" t="s">
        <v>13</v>
      </c>
      <c r="B2" s="20" t="s">
        <v>16</v>
      </c>
      <c r="C2" s="21" t="s">
        <v>24</v>
      </c>
      <c r="D2" s="20" t="s">
        <v>17</v>
      </c>
      <c r="E2" s="21" t="s">
        <v>23</v>
      </c>
      <c r="F2" s="20" t="s">
        <v>18</v>
      </c>
      <c r="G2" s="21" t="s">
        <v>22</v>
      </c>
      <c r="H2" s="20" t="s">
        <v>19</v>
      </c>
      <c r="I2" s="20" t="s">
        <v>21</v>
      </c>
      <c r="J2" t="s">
        <v>33</v>
      </c>
      <c r="K2" t="s">
        <v>34</v>
      </c>
    </row>
    <row r="3" spans="1:11" ht="22.5" customHeight="1">
      <c r="A3" s="22" t="s">
        <v>7</v>
      </c>
      <c r="B3" s="23">
        <v>62</v>
      </c>
      <c r="C3" s="23">
        <v>60.92</v>
      </c>
      <c r="D3" s="23">
        <v>63</v>
      </c>
      <c r="E3" s="23">
        <v>60.55</v>
      </c>
      <c r="F3" s="23">
        <v>65</v>
      </c>
      <c r="G3" s="23">
        <v>59.87</v>
      </c>
      <c r="H3" s="23">
        <v>65</v>
      </c>
      <c r="I3" s="23">
        <v>59.93</v>
      </c>
    </row>
    <row r="4" spans="1:11" ht="22.5" customHeight="1">
      <c r="A4" s="22" t="s">
        <v>8</v>
      </c>
      <c r="B4" s="23">
        <v>60</v>
      </c>
      <c r="C4" s="23">
        <v>60.93</v>
      </c>
      <c r="D4" s="23">
        <v>64</v>
      </c>
      <c r="E4" s="23">
        <v>60.43</v>
      </c>
      <c r="F4" s="23">
        <v>63</v>
      </c>
      <c r="G4" s="23">
        <v>60.41</v>
      </c>
      <c r="H4" s="23">
        <v>62</v>
      </c>
      <c r="I4" s="23">
        <v>60.29</v>
      </c>
    </row>
    <row r="5" spans="1:11" ht="22.5" customHeight="1">
      <c r="A5" s="22" t="s">
        <v>9</v>
      </c>
      <c r="B5" s="23">
        <v>67</v>
      </c>
      <c r="C5" s="23">
        <v>59.85</v>
      </c>
      <c r="D5" s="23">
        <v>68</v>
      </c>
      <c r="E5" s="23">
        <v>59.46</v>
      </c>
      <c r="F5" s="23">
        <v>70</v>
      </c>
      <c r="G5" s="23">
        <v>59.18</v>
      </c>
      <c r="H5" s="23">
        <v>68</v>
      </c>
      <c r="I5" s="23">
        <v>59.35</v>
      </c>
      <c r="J5" t="s">
        <v>39</v>
      </c>
      <c r="K5" t="s">
        <v>40</v>
      </c>
    </row>
    <row r="6" spans="1:11" ht="22.5" customHeight="1">
      <c r="A6" s="22" t="s">
        <v>10</v>
      </c>
      <c r="B6" s="23">
        <v>46</v>
      </c>
      <c r="C6" s="23">
        <v>66.239999999999995</v>
      </c>
      <c r="D6" s="23">
        <v>47</v>
      </c>
      <c r="E6" s="23">
        <v>65.569999999999993</v>
      </c>
      <c r="F6" s="23">
        <v>47</v>
      </c>
      <c r="G6" s="23">
        <v>65.66</v>
      </c>
      <c r="H6" s="23">
        <v>47</v>
      </c>
      <c r="I6" s="23">
        <v>65.319999999999993</v>
      </c>
    </row>
    <row r="7" spans="1:11" ht="22.5" customHeight="1">
      <c r="A7" s="22" t="s">
        <v>11</v>
      </c>
      <c r="B7" s="23">
        <v>79</v>
      </c>
      <c r="C7" s="23">
        <v>58.35</v>
      </c>
      <c r="D7" s="23">
        <v>82</v>
      </c>
      <c r="E7" s="23">
        <v>58.02</v>
      </c>
      <c r="F7" s="23">
        <v>82</v>
      </c>
      <c r="G7" s="23">
        <v>57.74</v>
      </c>
      <c r="H7" s="23">
        <v>82</v>
      </c>
      <c r="I7" s="23">
        <v>57.53</v>
      </c>
    </row>
    <row r="8" spans="1:11" ht="22.5" customHeight="1">
      <c r="A8" s="22" t="s">
        <v>6</v>
      </c>
      <c r="B8" s="23">
        <v>44</v>
      </c>
      <c r="C8" s="23">
        <v>66.69</v>
      </c>
      <c r="D8" s="23">
        <v>44</v>
      </c>
      <c r="E8" s="23">
        <v>66.22</v>
      </c>
      <c r="F8" s="23">
        <v>43</v>
      </c>
      <c r="G8" s="23">
        <v>66.599999999999994</v>
      </c>
      <c r="H8" s="23">
        <v>42</v>
      </c>
      <c r="I8" s="23">
        <v>66.489999999999995</v>
      </c>
    </row>
    <row r="10" spans="1:11" ht="13.2">
      <c r="A10" s="4" t="s">
        <v>20</v>
      </c>
    </row>
    <row r="12" spans="1:11" ht="13.2">
      <c r="A12" s="24"/>
    </row>
    <row r="13" spans="1:11" ht="13.2">
      <c r="A13" s="25"/>
    </row>
    <row r="14" spans="1:11" ht="13.2">
      <c r="A14" s="25"/>
    </row>
    <row r="15" spans="1:11" ht="13.2">
      <c r="A15" s="25"/>
    </row>
    <row r="16" spans="1:11" ht="13.2">
      <c r="A16" s="25"/>
    </row>
    <row r="17" spans="1:1" ht="13.2">
      <c r="A17" s="25"/>
    </row>
    <row r="18" spans="1:1" ht="13.2">
      <c r="A18" s="25"/>
    </row>
  </sheetData>
  <mergeCells count="1">
    <mergeCell ref="A1:I1"/>
  </mergeCells>
  <phoneticPr fontId="12" type="noConversion"/>
  <hyperlinks>
    <hyperlink ref="A10" r:id="rId1" xr:uid="{00000000-0004-0000-03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Inflation Rate (CPI)</vt:lpstr>
      <vt:lpstr>Economic Complexity Index</vt:lpstr>
      <vt:lpstr>Economic Freedom Index </vt:lpstr>
      <vt:lpstr>Legatum Prosperity Index (Overa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Musallam Al Kathiri</cp:lastModifiedBy>
  <dcterms:modified xsi:type="dcterms:W3CDTF">2026-05-03T15:42:32Z</dcterms:modified>
</cp:coreProperties>
</file>